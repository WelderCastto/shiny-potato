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elder.castro\Downloads\"/>
    </mc:Choice>
  </mc:AlternateContent>
  <bookViews>
    <workbookView xWindow="5100" yWindow="2325" windowWidth="21600" windowHeight="11385"/>
  </bookViews>
  <sheets>
    <sheet name="MENU" sheetId="1" r:id="rId1"/>
    <sheet name="DESPESAS" sheetId="2" r:id="rId2"/>
    <sheet name="LISTAS" sheetId="3" r:id="rId3"/>
    <sheet name="RECEITAS" sheetId="4" r:id="rId4"/>
    <sheet name="DASHBOARD" sheetId="5" r:id="rId5"/>
    <sheet name="Plan1" sheetId="6" r:id="rId6"/>
  </sheets>
  <calcPr calcId="15251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5" l="1"/>
  <c r="J11" i="5"/>
  <c r="M10" i="5"/>
  <c r="L10" i="5"/>
  <c r="D10" i="5"/>
  <c r="H6" i="2"/>
  <c r="G6" i="2"/>
  <c r="G16" i="4"/>
  <c r="H16" i="4"/>
  <c r="M14" i="5"/>
  <c r="M15" i="5"/>
  <c r="M16" i="5"/>
  <c r="M17" i="5"/>
  <c r="M18" i="5"/>
  <c r="M19" i="5"/>
  <c r="M20" i="5"/>
  <c r="M21" i="5"/>
  <c r="M22" i="5"/>
  <c r="L11" i="5"/>
  <c r="L12" i="5"/>
  <c r="L13" i="5"/>
  <c r="L14" i="5"/>
  <c r="L15" i="5"/>
  <c r="L16" i="5"/>
  <c r="L17" i="5"/>
  <c r="L18" i="5"/>
  <c r="L19" i="5"/>
  <c r="L20" i="5"/>
  <c r="L21" i="5"/>
  <c r="L22" i="5"/>
  <c r="J12" i="5"/>
  <c r="J14" i="5"/>
  <c r="J18" i="5"/>
  <c r="J20" i="5"/>
  <c r="J21" i="5"/>
  <c r="J22" i="5"/>
  <c r="I11" i="5"/>
  <c r="I13" i="5"/>
  <c r="I14" i="5"/>
  <c r="I15" i="5"/>
  <c r="J15" i="5" s="1"/>
  <c r="I16" i="5"/>
  <c r="J16" i="5" s="1"/>
  <c r="I17" i="5"/>
  <c r="J17" i="5" s="1"/>
  <c r="I18" i="5"/>
  <c r="I19" i="5"/>
  <c r="J19" i="5" s="1"/>
  <c r="I20" i="5"/>
  <c r="I21" i="5"/>
  <c r="I22" i="5"/>
  <c r="I10" i="5"/>
  <c r="J10" i="5" s="1"/>
  <c r="H6" i="4"/>
  <c r="H7" i="4"/>
  <c r="H8" i="4"/>
  <c r="H9" i="4"/>
  <c r="M12" i="5" s="1"/>
  <c r="H10" i="4"/>
  <c r="H11" i="4"/>
  <c r="H12" i="4"/>
  <c r="H13" i="4"/>
  <c r="H14" i="4"/>
  <c r="H15" i="4"/>
  <c r="G6" i="4"/>
  <c r="G7" i="4"/>
  <c r="G8" i="4"/>
  <c r="G9" i="4"/>
  <c r="G10" i="4"/>
  <c r="G11" i="4"/>
  <c r="G12" i="4"/>
  <c r="G13" i="4"/>
  <c r="G14" i="4"/>
  <c r="G15" i="4"/>
  <c r="H7" i="2"/>
  <c r="H8" i="2"/>
  <c r="H9" i="2"/>
  <c r="H10" i="2"/>
  <c r="H11" i="2"/>
  <c r="H12" i="2"/>
  <c r="H13" i="2"/>
  <c r="H14" i="2"/>
  <c r="H15" i="2"/>
  <c r="J13" i="5" s="1"/>
  <c r="H16" i="2"/>
  <c r="H17" i="2"/>
  <c r="H18" i="2"/>
  <c r="H19" i="2"/>
  <c r="H20" i="2"/>
  <c r="H21" i="2"/>
  <c r="H22" i="2"/>
  <c r="H23" i="2"/>
  <c r="G7" i="2"/>
  <c r="G8" i="2"/>
  <c r="G9" i="2"/>
  <c r="G10" i="2"/>
  <c r="G11" i="2"/>
  <c r="G12" i="2"/>
  <c r="G13" i="2"/>
  <c r="G14" i="2"/>
  <c r="G15" i="2"/>
  <c r="E19" i="5" s="1"/>
  <c r="G16" i="2"/>
  <c r="G17" i="2"/>
  <c r="G18" i="2"/>
  <c r="G19" i="2"/>
  <c r="G20" i="2"/>
  <c r="G21" i="2"/>
  <c r="G22" i="2"/>
  <c r="G23" i="2"/>
  <c r="E18" i="5" l="1"/>
  <c r="M11" i="5"/>
  <c r="M13" i="5"/>
  <c r="E17" i="5"/>
  <c r="E16" i="5"/>
  <c r="E15" i="5"/>
  <c r="E14" i="5"/>
  <c r="E10" i="5"/>
  <c r="E21" i="5"/>
  <c r="E13" i="5"/>
  <c r="E20" i="5"/>
  <c r="E12" i="5"/>
  <c r="E11" i="5"/>
  <c r="D21" i="5"/>
  <c r="D13" i="5"/>
  <c r="D18" i="5"/>
  <c r="D17" i="5"/>
  <c r="D16" i="5"/>
  <c r="D15" i="5"/>
  <c r="D14" i="5"/>
  <c r="D12" i="5"/>
  <c r="D20" i="5"/>
  <c r="D11" i="5"/>
  <c r="D19" i="5"/>
  <c r="G19" i="5" s="1"/>
  <c r="G14" i="5" l="1"/>
  <c r="G18" i="5"/>
  <c r="G10" i="5"/>
  <c r="F10" i="5" s="1"/>
  <c r="G15" i="5"/>
  <c r="G13" i="5"/>
  <c r="G17" i="5"/>
  <c r="G16" i="5"/>
  <c r="G12" i="5"/>
  <c r="E22" i="5"/>
  <c r="G20" i="5"/>
  <c r="G21" i="5"/>
  <c r="D22" i="5"/>
  <c r="G11" i="5"/>
  <c r="G22" i="5" l="1"/>
  <c r="F11" i="5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</calcChain>
</file>

<file path=xl/sharedStrings.xml><?xml version="1.0" encoding="utf-8"?>
<sst xmlns="http://schemas.openxmlformats.org/spreadsheetml/2006/main" count="76" uniqueCount="37">
  <si>
    <t>DESPESAS</t>
  </si>
  <si>
    <t>DATA</t>
  </si>
  <si>
    <t>CATEGORIA</t>
  </si>
  <si>
    <t>DESCRIÇÃO</t>
  </si>
  <si>
    <t>VALOR</t>
  </si>
  <si>
    <t>OBSERVAÇÃO</t>
  </si>
  <si>
    <t>MÊS</t>
  </si>
  <si>
    <t>ANO</t>
  </si>
  <si>
    <t>Apartamento</t>
  </si>
  <si>
    <t>Boleto</t>
  </si>
  <si>
    <t>Condominio</t>
  </si>
  <si>
    <t>Supermercado</t>
  </si>
  <si>
    <t>Besteiras</t>
  </si>
  <si>
    <t>Cartão Debito</t>
  </si>
  <si>
    <t>Saúde</t>
  </si>
  <si>
    <t>Dermatologista</t>
  </si>
  <si>
    <t>Cartão Crédito</t>
  </si>
  <si>
    <t>Lazer</t>
  </si>
  <si>
    <t>Cinema</t>
  </si>
  <si>
    <t>Streamings</t>
  </si>
  <si>
    <t>Geral</t>
  </si>
  <si>
    <t>Viagem</t>
  </si>
  <si>
    <t>LISTAS</t>
  </si>
  <si>
    <t>RECEITAS</t>
  </si>
  <si>
    <t>Salário</t>
  </si>
  <si>
    <t>Bônus</t>
  </si>
  <si>
    <t>Investimento</t>
  </si>
  <si>
    <t>Trabalho Extra</t>
  </si>
  <si>
    <t>DASHBOARD</t>
  </si>
  <si>
    <t>selecionar ano</t>
  </si>
  <si>
    <t>MESES</t>
  </si>
  <si>
    <t>ENTRADAS</t>
  </si>
  <si>
    <t>SAIDAS</t>
  </si>
  <si>
    <t>ACUMULADO</t>
  </si>
  <si>
    <t>SALDO</t>
  </si>
  <si>
    <t>TOTAL</t>
  </si>
  <si>
    <t>PARA VOCÊ MEU BEM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</si>
</sst>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&quot;R$&quot;\ #,##0.0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20"/>
      <color theme="0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8"/>
      <name val="Aptos Narrow"/>
      <family val="2"/>
      <scheme val="minor"/>
    </font>
    <font>
      <b/>
      <sz val="11"/>
      <color rgb="FFC00000"/>
      <name val="Arial"/>
      <family val="2"/>
    </font>
    <font>
      <sz val="11"/>
      <color rgb="FF000000"/>
      <name val="Arial"/>
      <family val="2"/>
    </font>
    <font>
      <b/>
      <sz val="11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3" borderId="0" xfId="0" applyFont="1" applyFill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4" fillId="5" borderId="0" xfId="0" applyFont="1" applyFill="1"/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7" fontId="3" fillId="0" borderId="2" xfId="0" applyNumberFormat="1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9" borderId="0" xfId="0" applyFont="1" applyFill="1"/>
    <xf numFmtId="0" fontId="0" fillId="9" borderId="0" xfId="0" applyFill="1"/>
    <xf numFmtId="0" fontId="0" fillId="10" borderId="0" xfId="0" applyFill="1"/>
    <xf numFmtId="0" fontId="6" fillId="10" borderId="5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4" fillId="11" borderId="0" xfId="0" applyFont="1" applyFill="1"/>
    <xf numFmtId="0" fontId="3" fillId="0" borderId="1" xfId="0" applyFont="1" applyBorder="1"/>
    <xf numFmtId="0" fontId="9" fillId="4" borderId="3" xfId="0" applyFont="1" applyFill="1" applyBorder="1" applyAlignment="1">
      <alignment horizontal="center" vertical="center"/>
    </xf>
    <xf numFmtId="0" fontId="3" fillId="13" borderId="1" xfId="0" applyFont="1" applyFill="1" applyBorder="1"/>
    <xf numFmtId="0" fontId="0" fillId="13" borderId="0" xfId="0" applyFill="1"/>
    <xf numFmtId="0" fontId="10" fillId="13" borderId="1" xfId="0" applyFont="1" applyFill="1" applyBorder="1"/>
    <xf numFmtId="0" fontId="11" fillId="13" borderId="8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3" fillId="0" borderId="2" xfId="1" applyNumberFormat="1" applyFont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11" borderId="0" xfId="0" applyFont="1" applyFill="1"/>
    <xf numFmtId="0" fontId="3" fillId="12" borderId="0" xfId="0" applyFont="1" applyFill="1"/>
    <xf numFmtId="44" fontId="3" fillId="0" borderId="1" xfId="0" applyNumberFormat="1" applyFont="1" applyBorder="1" applyAlignment="1">
      <alignment horizontal="center" vertical="center"/>
    </xf>
    <xf numFmtId="44" fontId="6" fillId="0" borderId="1" xfId="0" applyNumberFormat="1" applyFont="1" applyBorder="1" applyAlignment="1">
      <alignment horizontal="center" vertical="center"/>
    </xf>
    <xf numFmtId="0" fontId="6" fillId="12" borderId="1" xfId="0" applyFont="1" applyFill="1" applyBorder="1"/>
    <xf numFmtId="0" fontId="6" fillId="16" borderId="1" xfId="0" applyFont="1" applyFill="1" applyBorder="1"/>
    <xf numFmtId="44" fontId="3" fillId="0" borderId="1" xfId="1" applyFont="1" applyBorder="1"/>
    <xf numFmtId="0" fontId="10" fillId="13" borderId="2" xfId="0" applyFont="1" applyFill="1" applyBorder="1"/>
    <xf numFmtId="0" fontId="3" fillId="0" borderId="9" xfId="0" applyFont="1" applyBorder="1" applyAlignment="1">
      <alignment horizontal="center" vertical="center"/>
    </xf>
    <xf numFmtId="44" fontId="3" fillId="0" borderId="10" xfId="1" applyFont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4">
    <dxf>
      <font>
        <strike val="0"/>
        <outline val="0"/>
        <shadow val="0"/>
        <u val="none"/>
        <vertAlign val="baseline"/>
        <sz val="11"/>
        <color rgb="FF000000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22" formatCode="mmm/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22" formatCode="mmm/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Análise</a:t>
            </a:r>
            <a:r>
              <a:rPr lang="pt-BR" sz="1200" baseline="0"/>
              <a:t> de Receitas vs Despesas</a:t>
            </a:r>
            <a:endParaRPr lang="pt-BR" sz="12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DASHBOARD!$D$9</c:f>
              <c:strCache>
                <c:ptCount val="1"/>
                <c:pt idx="0">
                  <c:v>ENTRADAS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DASHBOARD!$D$10:$D$21</c:f>
              <c:numCache>
                <c:formatCode>_("R$"* #,##0.00_);_("R$"* \(#,##0.00\);_("R$"* "-"??_);_(@_)</c:formatCode>
                <c:ptCount val="12"/>
                <c:pt idx="0">
                  <c:v>300</c:v>
                </c:pt>
                <c:pt idx="1">
                  <c:v>300</c:v>
                </c:pt>
                <c:pt idx="2">
                  <c:v>2000</c:v>
                </c:pt>
                <c:pt idx="3">
                  <c:v>5748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63B-43C4-8E91-EE2B09D81EC3}"/>
            </c:ext>
          </c:extLst>
        </c:ser>
        <c:ser>
          <c:idx val="1"/>
          <c:order val="1"/>
          <c:tx>
            <c:strRef>
              <c:f>DASHBOARD!$E$9</c:f>
              <c:strCache>
                <c:ptCount val="1"/>
                <c:pt idx="0">
                  <c:v>SAIDAS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DASHBOARD!$E$10:$E$21</c:f>
              <c:numCache>
                <c:formatCode>_("R$"* #,##0.00_);_("R$"* \(#,##0.00\);_("R$"* "-"??_);_(@_)</c:formatCode>
                <c:ptCount val="12"/>
                <c:pt idx="0">
                  <c:v>40</c:v>
                </c:pt>
                <c:pt idx="1">
                  <c:v>0</c:v>
                </c:pt>
                <c:pt idx="2">
                  <c:v>50</c:v>
                </c:pt>
                <c:pt idx="3">
                  <c:v>4010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63B-43C4-8E91-EE2B09D81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4"/>
        <c:axId val="-633645424"/>
        <c:axId val="-633644880"/>
      </c:barChart>
      <c:lineChart>
        <c:grouping val="standard"/>
        <c:varyColors val="0"/>
        <c:ser>
          <c:idx val="2"/>
          <c:order val="2"/>
          <c:tx>
            <c:strRef>
              <c:f>DASHBOARD!$F$9</c:f>
              <c:strCache>
                <c:ptCount val="1"/>
                <c:pt idx="0">
                  <c:v>ACUMULADO</c:v>
                </c:pt>
              </c:strCache>
            </c:strRef>
          </c:tx>
          <c:spPr>
            <a:ln w="3810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DASHBOARD!$F$10:$F$21</c:f>
              <c:numCache>
                <c:formatCode>_("R$"* #,##0.00_);_("R$"* \(#,##0.00\);_("R$"* "-"??_);_(@_)</c:formatCode>
                <c:ptCount val="12"/>
                <c:pt idx="0">
                  <c:v>260</c:v>
                </c:pt>
                <c:pt idx="1">
                  <c:v>560</c:v>
                </c:pt>
                <c:pt idx="2">
                  <c:v>2510</c:v>
                </c:pt>
                <c:pt idx="3">
                  <c:v>4248</c:v>
                </c:pt>
                <c:pt idx="4">
                  <c:v>4248</c:v>
                </c:pt>
                <c:pt idx="5">
                  <c:v>4248</c:v>
                </c:pt>
                <c:pt idx="6">
                  <c:v>4248</c:v>
                </c:pt>
                <c:pt idx="7">
                  <c:v>7448</c:v>
                </c:pt>
                <c:pt idx="8">
                  <c:v>7448</c:v>
                </c:pt>
                <c:pt idx="9">
                  <c:v>7448</c:v>
                </c:pt>
                <c:pt idx="10">
                  <c:v>7448</c:v>
                </c:pt>
                <c:pt idx="11">
                  <c:v>7448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63B-43C4-8E91-EE2B09D81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633645424"/>
        <c:axId val="-633644880"/>
      </c:lineChart>
      <c:catAx>
        <c:axId val="-633645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33644880"/>
        <c:crosses val="autoZero"/>
        <c:auto val="1"/>
        <c:lblAlgn val="ctr"/>
        <c:lblOffset val="100"/>
        <c:noMultiLvlLbl val="0"/>
      </c:catAx>
      <c:valAx>
        <c:axId val="-63364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3364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schemeClr val="tx1">
          <a:alpha val="40000"/>
        </a:scheme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DESPESAS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5B8-4F6A-B23B-47B73821BF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5B8-4F6A-B23B-47B73821BF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5B8-4F6A-B23B-47B73821BFF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5B8-4F6A-B23B-47B73821BFF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35B8-4F6A-B23B-47B73821BFF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35B8-4F6A-B23B-47B73821BF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DASHBOARD!$I$10:$I$15</c:f>
              <c:strCache>
                <c:ptCount val="6"/>
                <c:pt idx="0">
                  <c:v>Apartamento</c:v>
                </c:pt>
                <c:pt idx="1">
                  <c:v>Condominio</c:v>
                </c:pt>
                <c:pt idx="2">
                  <c:v>Supermercado</c:v>
                </c:pt>
                <c:pt idx="3">
                  <c:v>Saúde</c:v>
                </c:pt>
                <c:pt idx="4">
                  <c:v>Lazer</c:v>
                </c:pt>
                <c:pt idx="5">
                  <c:v>Streamings</c:v>
                </c:pt>
              </c:strCache>
            </c:strRef>
          </c:cat>
          <c:val>
            <c:numRef>
              <c:f>DASHBOARD!$J$10:$J$15</c:f>
              <c:numCache>
                <c:formatCode>_("R$"* #,##0.00_);_("R$"* \(#,##0.00\);_("R$"* "-"??_);_(@_)</c:formatCode>
                <c:ptCount val="6"/>
                <c:pt idx="0">
                  <c:v>880</c:v>
                </c:pt>
                <c:pt idx="1">
                  <c:v>380</c:v>
                </c:pt>
                <c:pt idx="2">
                  <c:v>300</c:v>
                </c:pt>
                <c:pt idx="3">
                  <c:v>1150</c:v>
                </c:pt>
                <c:pt idx="4">
                  <c:v>1900</c:v>
                </c:pt>
                <c:pt idx="5">
                  <c:v>290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2C-4FA7-8BF7-EA25FB64D19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106-4BD9-8466-666EDB74DC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106-4BD9-8466-666EDB74DC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106-4BD9-8466-666EDB74DC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106-4BD9-8466-666EDB74DC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DASHBOARD!$L$10:$L$13</c:f>
              <c:strCache>
                <c:ptCount val="4"/>
                <c:pt idx="0">
                  <c:v>Salário</c:v>
                </c:pt>
                <c:pt idx="1">
                  <c:v>Bônus</c:v>
                </c:pt>
                <c:pt idx="2">
                  <c:v>Investimento</c:v>
                </c:pt>
                <c:pt idx="3">
                  <c:v>Trabalho Extra</c:v>
                </c:pt>
              </c:strCache>
            </c:strRef>
          </c:cat>
          <c:val>
            <c:numRef>
              <c:f>DASHBOARD!$M$10:$M$13</c:f>
              <c:numCache>
                <c:formatCode>_("R$"* #,##0.00_);_("R$"* \(#,##0.00\);_("R$"* "-"??_);_(@_)</c:formatCode>
                <c:ptCount val="4"/>
                <c:pt idx="0">
                  <c:v>2998</c:v>
                </c:pt>
                <c:pt idx="1">
                  <c:v>2350</c:v>
                </c:pt>
                <c:pt idx="2">
                  <c:v>4800</c:v>
                </c:pt>
                <c:pt idx="3">
                  <c:v>2200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CAC-4BB0-AB26-1FA16FE2AE9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DASHBOARD!A1"/><Relationship Id="rId2" Type="http://schemas.openxmlformats.org/officeDocument/2006/relationships/hyperlink" Target="#RECEITAS!A1"/><Relationship Id="rId1" Type="http://schemas.openxmlformats.org/officeDocument/2006/relationships/hyperlink" Target="#DESPESAS!A1"/><Relationship Id="rId4" Type="http://schemas.openxmlformats.org/officeDocument/2006/relationships/hyperlink" Target="#LIST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hyperlink" Target="#MENU!A1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641073</xdr:colOff>
      <xdr:row>10</xdr:row>
      <xdr:rowOff>24019</xdr:rowOff>
    </xdr:from>
    <xdr:to>
      <xdr:col>17</xdr:col>
      <xdr:colOff>458857</xdr:colOff>
      <xdr:row>15</xdr:row>
      <xdr:rowOff>163582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D82E48B-50B6-02E5-9DE2-E1FF8368D49B}"/>
            </a:ext>
          </a:extLst>
        </xdr:cNvPr>
        <xdr:cNvSpPr/>
      </xdr:nvSpPr>
      <xdr:spPr>
        <a:xfrm>
          <a:off x="8870673" y="1833769"/>
          <a:ext cx="3246784" cy="1044438"/>
        </a:xfrm>
        <a:prstGeom prst="roundRect">
          <a:avLst/>
        </a:prstGeom>
        <a:effectLst>
          <a:innerShdw blurRad="63500" dist="50800" dir="162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DESPESAS</a:t>
          </a:r>
        </a:p>
      </xdr:txBody>
    </xdr:sp>
    <xdr:clientData/>
  </xdr:twoCellAnchor>
  <xdr:twoCellAnchor>
    <xdr:from>
      <xdr:col>12</xdr:col>
      <xdr:colOff>634033</xdr:colOff>
      <xdr:row>16</xdr:row>
      <xdr:rowOff>102290</xdr:rowOff>
    </xdr:from>
    <xdr:to>
      <xdr:col>17</xdr:col>
      <xdr:colOff>453473</xdr:colOff>
      <xdr:row>22</xdr:row>
      <xdr:rowOff>62121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3103029-0D94-4550-83A6-CB7E6BFA20F0}"/>
            </a:ext>
          </a:extLst>
        </xdr:cNvPr>
        <xdr:cNvSpPr/>
      </xdr:nvSpPr>
      <xdr:spPr>
        <a:xfrm>
          <a:off x="8863633" y="2997890"/>
          <a:ext cx="3248440" cy="1045681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effectLst>
          <a:innerShdw blurRad="63500" dist="50800" dir="162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RECEITAS</a:t>
          </a:r>
        </a:p>
      </xdr:txBody>
    </xdr:sp>
    <xdr:clientData/>
  </xdr:twoCellAnchor>
  <xdr:twoCellAnchor>
    <xdr:from>
      <xdr:col>12</xdr:col>
      <xdr:colOff>671719</xdr:colOff>
      <xdr:row>23</xdr:row>
      <xdr:rowOff>9939</xdr:rowOff>
    </xdr:from>
    <xdr:to>
      <xdr:col>17</xdr:col>
      <xdr:colOff>489502</xdr:colOff>
      <xdr:row>28</xdr:row>
      <xdr:rowOff>149502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B88F8EE-B90D-48DB-8838-43E616825212}"/>
            </a:ext>
          </a:extLst>
        </xdr:cNvPr>
        <xdr:cNvSpPr/>
      </xdr:nvSpPr>
      <xdr:spPr>
        <a:xfrm>
          <a:off x="8901319" y="4172364"/>
          <a:ext cx="3246783" cy="1044438"/>
        </a:xfrm>
        <a:prstGeom prst="roundRect">
          <a:avLst/>
        </a:prstGeom>
        <a:effectLst>
          <a:innerShdw blurRad="63500" dist="50800" dir="162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DASHBOARD</a:t>
          </a:r>
        </a:p>
      </xdr:txBody>
    </xdr:sp>
    <xdr:clientData/>
  </xdr:twoCellAnchor>
  <xdr:twoCellAnchor>
    <xdr:from>
      <xdr:col>12</xdr:col>
      <xdr:colOff>668820</xdr:colOff>
      <xdr:row>29</xdr:row>
      <xdr:rowOff>98563</xdr:rowOff>
    </xdr:from>
    <xdr:to>
      <xdr:col>17</xdr:col>
      <xdr:colOff>486604</xdr:colOff>
      <xdr:row>35</xdr:row>
      <xdr:rowOff>57150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AE5229B0-EAF0-471D-97E9-FE03E6E561D4}"/>
            </a:ext>
          </a:extLst>
        </xdr:cNvPr>
        <xdr:cNvSpPr/>
      </xdr:nvSpPr>
      <xdr:spPr>
        <a:xfrm>
          <a:off x="8898420" y="5346838"/>
          <a:ext cx="3246784" cy="1044437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effectLst>
          <a:innerShdw blurRad="63500" dist="50800" dir="162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LISTA</a:t>
          </a:r>
        </a:p>
      </xdr:txBody>
    </xdr:sp>
    <xdr:clientData/>
  </xdr:twoCellAnchor>
  <xdr:twoCellAnchor>
    <xdr:from>
      <xdr:col>0</xdr:col>
      <xdr:colOff>57150</xdr:colOff>
      <xdr:row>0</xdr:row>
      <xdr:rowOff>0</xdr:rowOff>
    </xdr:from>
    <xdr:to>
      <xdr:col>32</xdr:col>
      <xdr:colOff>238125</xdr:colOff>
      <xdr:row>7</xdr:row>
      <xdr:rowOff>47625</xdr:rowOff>
    </xdr:to>
    <xdr:sp macro="" textlink="">
      <xdr:nvSpPr>
        <xdr:cNvPr id="7" name="Retângulo 6">
          <a:extLst>
            <a:ext uri="{FF2B5EF4-FFF2-40B4-BE49-F238E27FC236}">
              <a16:creationId xmlns="" xmlns:a16="http://schemas.microsoft.com/office/drawing/2014/main" id="{B32F4628-CF5C-A93E-2613-9C8C81A1FDAB}"/>
            </a:ext>
          </a:extLst>
        </xdr:cNvPr>
        <xdr:cNvSpPr/>
      </xdr:nvSpPr>
      <xdr:spPr>
        <a:xfrm>
          <a:off x="57150" y="0"/>
          <a:ext cx="22126575" cy="1314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 b="1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  <a:r>
            <a:rPr lang="pt-BR" sz="3600" b="1" baseline="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DE NAVEGAÇÃO</a:t>
          </a:r>
          <a:endParaRPr lang="pt-BR" sz="3600" b="1">
            <a:solidFill>
              <a:schemeClr val="tx1">
                <a:lumMod val="95000"/>
                <a:lumOff val="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0</xdr:row>
      <xdr:rowOff>19050</xdr:rowOff>
    </xdr:from>
    <xdr:to>
      <xdr:col>5</xdr:col>
      <xdr:colOff>142875</xdr:colOff>
      <xdr:row>1</xdr:row>
      <xdr:rowOff>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78C375A-88B2-0C74-306F-CFFFC212F0B8}"/>
            </a:ext>
          </a:extLst>
        </xdr:cNvPr>
        <xdr:cNvSpPr/>
      </xdr:nvSpPr>
      <xdr:spPr>
        <a:xfrm>
          <a:off x="1933575" y="19050"/>
          <a:ext cx="1638300" cy="31432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bg2"/>
          </a:solidFill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95000"/>
                  <a:lumOff val="5000"/>
                </a:schemeClr>
              </a:solidFill>
            </a:rPr>
            <a:t>VOLTAR</a:t>
          </a:r>
          <a:r>
            <a:rPr lang="pt-BR" sz="1100" b="1" baseline="0">
              <a:solidFill>
                <a:schemeClr val="tx1">
                  <a:lumMod val="95000"/>
                  <a:lumOff val="5000"/>
                </a:schemeClr>
              </a:solidFill>
            </a:rPr>
            <a:t> AO MENU</a:t>
          </a:r>
          <a:endParaRPr lang="pt-BR" sz="11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0</xdr:row>
      <xdr:rowOff>19050</xdr:rowOff>
    </xdr:from>
    <xdr:to>
      <xdr:col>5</xdr:col>
      <xdr:colOff>142875</xdr:colOff>
      <xdr:row>1</xdr:row>
      <xdr:rowOff>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A4FE91CA-3064-4E83-B529-AC0DA97D474C}"/>
            </a:ext>
          </a:extLst>
        </xdr:cNvPr>
        <xdr:cNvSpPr/>
      </xdr:nvSpPr>
      <xdr:spPr>
        <a:xfrm>
          <a:off x="1933575" y="19050"/>
          <a:ext cx="2333625" cy="314325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solidFill>
            <a:schemeClr val="bg2"/>
          </a:solidFill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95000"/>
                  <a:lumOff val="5000"/>
                </a:schemeClr>
              </a:solidFill>
            </a:rPr>
            <a:t>VOLTAR</a:t>
          </a:r>
          <a:r>
            <a:rPr lang="pt-BR" sz="1100" b="1" baseline="0">
              <a:solidFill>
                <a:schemeClr val="tx1">
                  <a:lumMod val="95000"/>
                  <a:lumOff val="5000"/>
                </a:schemeClr>
              </a:solidFill>
            </a:rPr>
            <a:t> AO MENU</a:t>
          </a:r>
          <a:endParaRPr lang="pt-BR" sz="11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771525</xdr:colOff>
      <xdr:row>0</xdr:row>
      <xdr:rowOff>0</xdr:rowOff>
    </xdr:from>
    <xdr:to>
      <xdr:col>3</xdr:col>
      <xdr:colOff>590550</xdr:colOff>
      <xdr:row>0</xdr:row>
      <xdr:rowOff>314325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C070DC7-0F22-4243-9DA3-F1A33163F739}"/>
            </a:ext>
          </a:extLst>
        </xdr:cNvPr>
        <xdr:cNvSpPr/>
      </xdr:nvSpPr>
      <xdr:spPr>
        <a:xfrm>
          <a:off x="1457325" y="0"/>
          <a:ext cx="1733550" cy="3143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bg2"/>
          </a:solidFill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95000"/>
                  <a:lumOff val="5000"/>
                </a:schemeClr>
              </a:solidFill>
            </a:rPr>
            <a:t>VOLTAR</a:t>
          </a:r>
          <a:r>
            <a:rPr lang="pt-BR" sz="1100" b="1" baseline="0">
              <a:solidFill>
                <a:schemeClr val="tx1">
                  <a:lumMod val="95000"/>
                  <a:lumOff val="5000"/>
                </a:schemeClr>
              </a:solidFill>
            </a:rPr>
            <a:t> AO MENU</a:t>
          </a:r>
          <a:endParaRPr lang="pt-BR" sz="11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619125</xdr:colOff>
      <xdr:row>0</xdr:row>
      <xdr:rowOff>9525</xdr:rowOff>
    </xdr:from>
    <xdr:to>
      <xdr:col>6</xdr:col>
      <xdr:colOff>200025</xdr:colOff>
      <xdr:row>0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B97D956-4F7F-4B5F-ADC4-8EACF9363887}"/>
            </a:ext>
          </a:extLst>
        </xdr:cNvPr>
        <xdr:cNvSpPr/>
      </xdr:nvSpPr>
      <xdr:spPr>
        <a:xfrm>
          <a:off x="2238375" y="9525"/>
          <a:ext cx="2933700" cy="3143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bg2"/>
          </a:solidFill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VOLTAR</a:t>
          </a:r>
          <a:r>
            <a:rPr lang="pt-BR" sz="1100" b="1" baseline="0">
              <a:solidFill>
                <a:schemeClr val="bg1"/>
              </a:solidFill>
            </a:rPr>
            <a:t> AO MENU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900112</xdr:colOff>
      <xdr:row>23</xdr:row>
      <xdr:rowOff>9525</xdr:rowOff>
    </xdr:from>
    <xdr:to>
      <xdr:col>6</xdr:col>
      <xdr:colOff>971550</xdr:colOff>
      <xdr:row>38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="" xmlns:a16="http://schemas.microsoft.com/office/drawing/2014/main" id="{823BA85E-3725-275D-D80C-AA688D84B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666749</xdr:colOff>
      <xdr:row>23</xdr:row>
      <xdr:rowOff>4762</xdr:rowOff>
    </xdr:from>
    <xdr:to>
      <xdr:col>9</xdr:col>
      <xdr:colOff>1895475</xdr:colOff>
      <xdr:row>38</xdr:row>
      <xdr:rowOff>33337</xdr:rowOff>
    </xdr:to>
    <xdr:graphicFrame macro="">
      <xdr:nvGraphicFramePr>
        <xdr:cNvPr id="6" name="Gráfico 5">
          <a:extLst>
            <a:ext uri="{FF2B5EF4-FFF2-40B4-BE49-F238E27FC236}">
              <a16:creationId xmlns="" xmlns:a16="http://schemas.microsoft.com/office/drawing/2014/main" id="{7A5C7C2C-B071-1D0B-DAEB-99E9FE0E5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23</xdr:row>
      <xdr:rowOff>14287</xdr:rowOff>
    </xdr:from>
    <xdr:to>
      <xdr:col>13</xdr:col>
      <xdr:colOff>19050</xdr:colOff>
      <xdr:row>38</xdr:row>
      <xdr:rowOff>42862</xdr:rowOff>
    </xdr:to>
    <xdr:graphicFrame macro="">
      <xdr:nvGraphicFramePr>
        <xdr:cNvPr id="7" name="Gráfico 6">
          <a:extLst>
            <a:ext uri="{FF2B5EF4-FFF2-40B4-BE49-F238E27FC236}">
              <a16:creationId xmlns="" xmlns:a16="http://schemas.microsoft.com/office/drawing/2014/main" id="{B641588A-9E6F-ED56-5BD6-4C1A6C583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a1" displayName="Tabela1" ref="B5:H23" totalsRowShown="0" headerRowDxfId="23" dataDxfId="21" headerRowBorderDxfId="22" tableBorderDxfId="20" totalsRowBorderDxfId="19">
  <autoFilter ref="B5:H23"/>
  <tableColumns count="7">
    <tableColumn id="1" name="DATA" dataDxfId="18"/>
    <tableColumn id="2" name="CATEGORIA" dataDxfId="17"/>
    <tableColumn id="3" name="DESCRIÇÃO" dataDxfId="16"/>
    <tableColumn id="4" name="VALOR" dataDxfId="15" dataCellStyle="Moeda"/>
    <tableColumn id="5" name="OBSERVAÇÃO" dataDxfId="14"/>
    <tableColumn id="6" name="MÊS" dataDxfId="13">
      <calculatedColumnFormula>MONTH(Tabela1[[#This Row],[DATA]])</calculatedColumnFormula>
    </tableColumn>
    <tableColumn id="7" name="ANO" dataDxfId="12">
      <calculatedColumnFormula>YEAR(Tabela1[[#This Row],[DATA]])</calculatedColumnFormula>
    </tableColumn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id="2" name="Tabela13" displayName="Tabela13" ref="B5:H16" totalsRowShown="0" headerRowDxfId="11" dataDxfId="9" headerRowBorderDxfId="10" tableBorderDxfId="8" totalsRowBorderDxfId="7">
  <autoFilter ref="B5:H16"/>
  <tableColumns count="7">
    <tableColumn id="1" name="DATA" dataDxfId="6"/>
    <tableColumn id="2" name="CATEGORIA" dataDxfId="5"/>
    <tableColumn id="3" name="DESCRIÇÃO" dataDxfId="4"/>
    <tableColumn id="4" name="VALOR" dataDxfId="3" dataCellStyle="Moeda"/>
    <tableColumn id="5" name="OBSERVAÇÃO" dataDxfId="2"/>
    <tableColumn id="6" name="MÊS" dataDxfId="1">
      <calculatedColumnFormula>MONTH(Tabela13[[#This Row],[DATA]])</calculatedColumnFormula>
    </tableColumn>
    <tableColumn id="7" name="ANO" dataDxfId="0">
      <calculatedColumnFormula>YEAR(Tabela13[[#This Row],[DATA]])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7" zoomScaleNormal="100" workbookViewId="0"/>
  </sheetViews>
  <sheetFormatPr defaultColWidth="9" defaultRowHeight="14.25"/>
  <cols>
    <col min="1" max="16384" width="9" style="1"/>
  </cols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/>
  </sheetViews>
  <sheetFormatPr defaultRowHeight="14.25"/>
  <cols>
    <col min="2" max="2" width="11.375" customWidth="1"/>
    <col min="3" max="3" width="13.75" customWidth="1"/>
    <col min="4" max="4" width="13.875" customWidth="1"/>
    <col min="5" max="5" width="13.375" customWidth="1"/>
    <col min="6" max="6" width="30.75" customWidth="1"/>
  </cols>
  <sheetData>
    <row r="1" spans="1:8" s="2" customFormat="1" ht="26.25">
      <c r="A1" s="4" t="s">
        <v>0</v>
      </c>
    </row>
    <row r="2" spans="1:8" s="3" customFormat="1" ht="6" customHeight="1"/>
    <row r="5" spans="1:8" ht="15">
      <c r="B5" s="17" t="s">
        <v>1</v>
      </c>
      <c r="C5" s="18" t="s">
        <v>2</v>
      </c>
      <c r="D5" s="18" t="s">
        <v>3</v>
      </c>
      <c r="E5" s="18" t="s">
        <v>4</v>
      </c>
      <c r="F5" s="19" t="s">
        <v>5</v>
      </c>
      <c r="G5" s="33" t="s">
        <v>6</v>
      </c>
      <c r="H5" s="33" t="s">
        <v>7</v>
      </c>
    </row>
    <row r="6" spans="1:8">
      <c r="B6" s="20">
        <v>46125</v>
      </c>
      <c r="C6" s="15" t="s">
        <v>8</v>
      </c>
      <c r="D6" s="21">
        <v>46113</v>
      </c>
      <c r="E6" s="22">
        <v>880</v>
      </c>
      <c r="F6" s="23" t="s">
        <v>9</v>
      </c>
      <c r="G6" s="34">
        <f>MONTH(Tabela1[[#This Row],[DATA]])</f>
        <v>4</v>
      </c>
      <c r="H6" s="34">
        <f>YEAR(Tabela1[[#This Row],[DATA]])</f>
        <v>2026</v>
      </c>
    </row>
    <row r="7" spans="1:8">
      <c r="B7" s="20">
        <v>46126</v>
      </c>
      <c r="C7" s="15" t="s">
        <v>10</v>
      </c>
      <c r="D7" s="21" t="s">
        <v>8</v>
      </c>
      <c r="E7" s="22">
        <v>380</v>
      </c>
      <c r="F7" s="23" t="s">
        <v>9</v>
      </c>
      <c r="G7" s="34">
        <f>MONTH(Tabela1[[#This Row],[DATA]])</f>
        <v>4</v>
      </c>
      <c r="H7" s="34">
        <f>YEAR(Tabela1[[#This Row],[DATA]])</f>
        <v>2026</v>
      </c>
    </row>
    <row r="8" spans="1:8">
      <c r="B8" s="20">
        <v>46127</v>
      </c>
      <c r="C8" s="15" t="s">
        <v>11</v>
      </c>
      <c r="D8" s="21" t="s">
        <v>12</v>
      </c>
      <c r="E8" s="22">
        <v>300</v>
      </c>
      <c r="F8" s="23" t="s">
        <v>13</v>
      </c>
      <c r="G8" s="34">
        <f>MONTH(Tabela1[[#This Row],[DATA]])</f>
        <v>4</v>
      </c>
      <c r="H8" s="34">
        <f>YEAR(Tabela1[[#This Row],[DATA]])</f>
        <v>2026</v>
      </c>
    </row>
    <row r="9" spans="1:8">
      <c r="B9" s="20">
        <v>46128</v>
      </c>
      <c r="C9" s="15" t="s">
        <v>14</v>
      </c>
      <c r="D9" s="21" t="s">
        <v>15</v>
      </c>
      <c r="E9" s="22">
        <v>350</v>
      </c>
      <c r="F9" s="23" t="s">
        <v>16</v>
      </c>
      <c r="G9" s="34">
        <f>MONTH(Tabela1[[#This Row],[DATA]])</f>
        <v>4</v>
      </c>
      <c r="H9" s="34">
        <f>YEAR(Tabela1[[#This Row],[DATA]])</f>
        <v>2026</v>
      </c>
    </row>
    <row r="10" spans="1:8">
      <c r="B10" s="20">
        <v>46129</v>
      </c>
      <c r="C10" s="15" t="s">
        <v>17</v>
      </c>
      <c r="D10" s="21" t="s">
        <v>18</v>
      </c>
      <c r="E10" s="22">
        <v>200</v>
      </c>
      <c r="F10" s="23" t="s">
        <v>13</v>
      </c>
      <c r="G10" s="34">
        <f>MONTH(Tabela1[[#This Row],[DATA]])</f>
        <v>4</v>
      </c>
      <c r="H10" s="34">
        <f>YEAR(Tabela1[[#This Row],[DATA]])</f>
        <v>2026</v>
      </c>
    </row>
    <row r="11" spans="1:8">
      <c r="B11" s="20">
        <v>46130</v>
      </c>
      <c r="C11" s="15" t="s">
        <v>19</v>
      </c>
      <c r="D11" s="21" t="s">
        <v>20</v>
      </c>
      <c r="E11" s="22">
        <v>200</v>
      </c>
      <c r="F11" s="23" t="s">
        <v>16</v>
      </c>
      <c r="G11" s="34">
        <f>MONTH(Tabela1[[#This Row],[DATA]])</f>
        <v>4</v>
      </c>
      <c r="H11" s="34">
        <f>YEAR(Tabela1[[#This Row],[DATA]])</f>
        <v>2026</v>
      </c>
    </row>
    <row r="12" spans="1:8">
      <c r="B12" s="20">
        <v>46131</v>
      </c>
      <c r="C12" s="15" t="s">
        <v>17</v>
      </c>
      <c r="D12" s="21" t="s">
        <v>21</v>
      </c>
      <c r="E12" s="22">
        <v>1700</v>
      </c>
      <c r="F12" s="23"/>
      <c r="G12" s="34">
        <f>MONTH(Tabela1[[#This Row],[DATA]])</f>
        <v>4</v>
      </c>
      <c r="H12" s="34">
        <f>YEAR(Tabela1[[#This Row],[DATA]])</f>
        <v>2026</v>
      </c>
    </row>
    <row r="13" spans="1:8">
      <c r="B13" s="20">
        <v>46042</v>
      </c>
      <c r="C13" s="15" t="s">
        <v>19</v>
      </c>
      <c r="D13" s="21"/>
      <c r="E13" s="22">
        <v>40</v>
      </c>
      <c r="F13" s="23"/>
      <c r="G13" s="34">
        <f>MONTH(Tabela1[[#This Row],[DATA]])</f>
        <v>1</v>
      </c>
      <c r="H13" s="34">
        <f>YEAR(Tabela1[[#This Row],[DATA]])</f>
        <v>2026</v>
      </c>
    </row>
    <row r="14" spans="1:8">
      <c r="B14" s="20">
        <v>46102</v>
      </c>
      <c r="C14" s="15" t="s">
        <v>19</v>
      </c>
      <c r="D14" s="21"/>
      <c r="E14" s="22">
        <v>50</v>
      </c>
      <c r="F14" s="23"/>
      <c r="G14" s="34">
        <f>MONTH(Tabela1[[#This Row],[DATA]])</f>
        <v>3</v>
      </c>
      <c r="H14" s="34">
        <f>YEAR(Tabela1[[#This Row],[DATA]])</f>
        <v>2026</v>
      </c>
    </row>
    <row r="15" spans="1:8">
      <c r="B15" s="20">
        <v>46235</v>
      </c>
      <c r="C15" s="15" t="s">
        <v>14</v>
      </c>
      <c r="D15" s="21"/>
      <c r="E15" s="22">
        <v>800</v>
      </c>
      <c r="F15" s="23"/>
      <c r="G15" s="34">
        <f>MONTH(Tabela1[[#This Row],[DATA]])</f>
        <v>8</v>
      </c>
      <c r="H15" s="34">
        <f>YEAR(Tabela1[[#This Row],[DATA]])</f>
        <v>2026</v>
      </c>
    </row>
    <row r="16" spans="1:8">
      <c r="B16" s="20">
        <v>46135</v>
      </c>
      <c r="C16" s="15"/>
      <c r="D16" s="21"/>
      <c r="E16" s="22"/>
      <c r="F16" s="23"/>
      <c r="G16" s="34">
        <f>MONTH(Tabela1[[#This Row],[DATA]])</f>
        <v>4</v>
      </c>
      <c r="H16" s="34">
        <f>YEAR(Tabela1[[#This Row],[DATA]])</f>
        <v>2026</v>
      </c>
    </row>
    <row r="17" spans="2:8">
      <c r="B17" s="20">
        <v>46136</v>
      </c>
      <c r="C17" s="15"/>
      <c r="D17" s="21"/>
      <c r="E17" s="22"/>
      <c r="F17" s="23"/>
      <c r="G17" s="34">
        <f>MONTH(Tabela1[[#This Row],[DATA]])</f>
        <v>4</v>
      </c>
      <c r="H17" s="34">
        <f>YEAR(Tabela1[[#This Row],[DATA]])</f>
        <v>2026</v>
      </c>
    </row>
    <row r="18" spans="2:8">
      <c r="B18" s="20">
        <v>46137</v>
      </c>
      <c r="C18" s="15"/>
      <c r="D18" s="21"/>
      <c r="E18" s="22"/>
      <c r="F18" s="23"/>
      <c r="G18" s="34">
        <f>MONTH(Tabela1[[#This Row],[DATA]])</f>
        <v>4</v>
      </c>
      <c r="H18" s="34">
        <f>YEAR(Tabela1[[#This Row],[DATA]])</f>
        <v>2026</v>
      </c>
    </row>
    <row r="19" spans="2:8">
      <c r="B19" s="20">
        <v>46138</v>
      </c>
      <c r="C19" s="15"/>
      <c r="D19" s="21"/>
      <c r="E19" s="22"/>
      <c r="F19" s="23"/>
      <c r="G19" s="34">
        <f>MONTH(Tabela1[[#This Row],[DATA]])</f>
        <v>4</v>
      </c>
      <c r="H19" s="34">
        <f>YEAR(Tabela1[[#This Row],[DATA]])</f>
        <v>2026</v>
      </c>
    </row>
    <row r="20" spans="2:8">
      <c r="B20" s="20">
        <v>46139</v>
      </c>
      <c r="C20" s="15"/>
      <c r="D20" s="21"/>
      <c r="E20" s="22"/>
      <c r="F20" s="23"/>
      <c r="G20" s="34">
        <f>MONTH(Tabela1[[#This Row],[DATA]])</f>
        <v>4</v>
      </c>
      <c r="H20" s="34">
        <f>YEAR(Tabela1[[#This Row],[DATA]])</f>
        <v>2026</v>
      </c>
    </row>
    <row r="21" spans="2:8">
      <c r="B21" s="20">
        <v>46140</v>
      </c>
      <c r="C21" s="15"/>
      <c r="D21" s="21"/>
      <c r="E21" s="22"/>
      <c r="F21" s="23"/>
      <c r="G21" s="34">
        <f>MONTH(Tabela1[[#This Row],[DATA]])</f>
        <v>4</v>
      </c>
      <c r="H21" s="34">
        <f>YEAR(Tabela1[[#This Row],[DATA]])</f>
        <v>2026</v>
      </c>
    </row>
    <row r="22" spans="2:8">
      <c r="B22" s="20">
        <v>46141</v>
      </c>
      <c r="C22" s="15"/>
      <c r="D22" s="21"/>
      <c r="E22" s="22"/>
      <c r="F22" s="23"/>
      <c r="G22" s="34">
        <f>MONTH(Tabela1[[#This Row],[DATA]])</f>
        <v>4</v>
      </c>
      <c r="H22" s="34">
        <f>YEAR(Tabela1[[#This Row],[DATA]])</f>
        <v>2026</v>
      </c>
    </row>
    <row r="23" spans="2:8">
      <c r="B23" s="20">
        <v>46142</v>
      </c>
      <c r="C23" s="15"/>
      <c r="D23" s="21"/>
      <c r="E23" s="22"/>
      <c r="F23" s="23"/>
      <c r="G23" s="34">
        <f>MONTH(Tabela1[[#This Row],[DATA]])</f>
        <v>4</v>
      </c>
      <c r="H23" s="34">
        <f>YEAR(Tabela1[[#This Row],[DATA]])</f>
        <v>2026</v>
      </c>
    </row>
    <row r="24" spans="2:8">
      <c r="G24" s="35"/>
      <c r="H24" s="35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LISTAS!$B$6:$B$18</xm:f>
          </x14:formula1>
          <xm:sqref>C6:C23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/>
  </sheetViews>
  <sheetFormatPr defaultRowHeight="14.25"/>
  <cols>
    <col min="2" max="2" width="22.375" style="6" customWidth="1"/>
    <col min="4" max="4" width="21.25" style="6" customWidth="1"/>
  </cols>
  <sheetData>
    <row r="1" spans="1:4" s="7" customFormat="1" ht="26.25">
      <c r="A1" s="11" t="s">
        <v>22</v>
      </c>
      <c r="B1" s="9"/>
      <c r="D1" s="9"/>
    </row>
    <row r="2" spans="1:4" s="8" customFormat="1" ht="6" customHeight="1">
      <c r="B2" s="10"/>
      <c r="D2" s="10"/>
    </row>
    <row r="5" spans="1:4">
      <c r="B5" s="12" t="s">
        <v>0</v>
      </c>
      <c r="C5" s="5"/>
      <c r="D5" s="13" t="s">
        <v>23</v>
      </c>
    </row>
    <row r="6" spans="1:4">
      <c r="B6" s="14" t="s">
        <v>8</v>
      </c>
      <c r="D6" s="14" t="s">
        <v>24</v>
      </c>
    </row>
    <row r="7" spans="1:4">
      <c r="B7" s="14" t="s">
        <v>10</v>
      </c>
      <c r="D7" s="14" t="s">
        <v>25</v>
      </c>
    </row>
    <row r="8" spans="1:4">
      <c r="B8" s="14" t="s">
        <v>11</v>
      </c>
      <c r="D8" s="14" t="s">
        <v>26</v>
      </c>
    </row>
    <row r="9" spans="1:4">
      <c r="B9" s="14" t="s">
        <v>14</v>
      </c>
      <c r="D9" s="14" t="s">
        <v>27</v>
      </c>
    </row>
    <row r="10" spans="1:4">
      <c r="B10" s="14" t="s">
        <v>17</v>
      </c>
      <c r="D10" s="14"/>
    </row>
    <row r="11" spans="1:4">
      <c r="B11" s="14" t="s">
        <v>19</v>
      </c>
      <c r="D11" s="14"/>
    </row>
    <row r="12" spans="1:4">
      <c r="B12" s="14"/>
      <c r="D12" s="14"/>
    </row>
    <row r="13" spans="1:4">
      <c r="B13" s="14"/>
      <c r="D13" s="14"/>
    </row>
    <row r="14" spans="1:4">
      <c r="B14" s="14"/>
      <c r="D14" s="14"/>
    </row>
    <row r="15" spans="1:4">
      <c r="B15" s="14"/>
      <c r="D15" s="14"/>
    </row>
    <row r="16" spans="1:4">
      <c r="B16" s="14"/>
      <c r="D16" s="14"/>
    </row>
    <row r="17" spans="2:4">
      <c r="B17" s="14"/>
      <c r="D17" s="14"/>
    </row>
    <row r="18" spans="2:4">
      <c r="B18" s="14"/>
      <c r="D18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4.25"/>
  <cols>
    <col min="2" max="2" width="11.375" customWidth="1"/>
    <col min="3" max="3" width="13.75" customWidth="1"/>
    <col min="4" max="4" width="13.875" customWidth="1"/>
    <col min="5" max="5" width="15.25" customWidth="1"/>
    <col min="6" max="6" width="30.75" customWidth="1"/>
  </cols>
  <sheetData>
    <row r="1" spans="1:8" s="25" customFormat="1" ht="26.25">
      <c r="A1" s="24" t="s">
        <v>23</v>
      </c>
    </row>
    <row r="2" spans="1:8" s="26" customFormat="1" ht="6" customHeight="1"/>
    <row r="5" spans="1:8" ht="15">
      <c r="B5" s="27" t="s">
        <v>1</v>
      </c>
      <c r="C5" s="28" t="s">
        <v>2</v>
      </c>
      <c r="D5" s="28" t="s">
        <v>3</v>
      </c>
      <c r="E5" s="28" t="s">
        <v>4</v>
      </c>
      <c r="F5" s="29" t="s">
        <v>5</v>
      </c>
      <c r="G5" s="37" t="s">
        <v>6</v>
      </c>
      <c r="H5" s="37" t="s">
        <v>7</v>
      </c>
    </row>
    <row r="6" spans="1:8">
      <c r="B6" s="20">
        <v>46125</v>
      </c>
      <c r="C6" s="15" t="s">
        <v>27</v>
      </c>
      <c r="D6" s="21"/>
      <c r="E6" s="40">
        <v>200</v>
      </c>
      <c r="F6" s="23"/>
      <c r="G6" s="36">
        <f>MONTH(Tabela13[[#This Row],[DATA]])</f>
        <v>4</v>
      </c>
      <c r="H6" s="36">
        <f>YEAR(Tabela13[[#This Row],[DATA]])</f>
        <v>2026</v>
      </c>
    </row>
    <row r="7" spans="1:8">
      <c r="B7" s="20">
        <v>46126</v>
      </c>
      <c r="C7" s="15" t="s">
        <v>24</v>
      </c>
      <c r="D7" s="21"/>
      <c r="E7" s="40">
        <v>998</v>
      </c>
      <c r="F7" s="23"/>
      <c r="G7" s="36">
        <f>MONTH(Tabela13[[#This Row],[DATA]])</f>
        <v>4</v>
      </c>
      <c r="H7" s="36">
        <f>YEAR(Tabela13[[#This Row],[DATA]])</f>
        <v>2026</v>
      </c>
    </row>
    <row r="8" spans="1:8">
      <c r="B8" s="20">
        <v>46127</v>
      </c>
      <c r="C8" s="15" t="s">
        <v>25</v>
      </c>
      <c r="D8" s="21"/>
      <c r="E8" s="40">
        <v>150</v>
      </c>
      <c r="F8" s="23"/>
      <c r="G8" s="36">
        <f>MONTH(Tabela13[[#This Row],[DATA]])</f>
        <v>4</v>
      </c>
      <c r="H8" s="36">
        <f>YEAR(Tabela13[[#This Row],[DATA]])</f>
        <v>2026</v>
      </c>
    </row>
    <row r="9" spans="1:8">
      <c r="B9" s="20">
        <v>46128</v>
      </c>
      <c r="C9" s="15" t="s">
        <v>26</v>
      </c>
      <c r="D9" s="21"/>
      <c r="E9" s="22">
        <v>500</v>
      </c>
      <c r="F9" s="23"/>
      <c r="G9" s="36">
        <f>MONTH(Tabela13[[#This Row],[DATA]])</f>
        <v>4</v>
      </c>
      <c r="H9" s="36">
        <f>YEAR(Tabela13[[#This Row],[DATA]])</f>
        <v>2026</v>
      </c>
    </row>
    <row r="10" spans="1:8">
      <c r="B10" s="20">
        <v>46129</v>
      </c>
      <c r="C10" s="15" t="s">
        <v>25</v>
      </c>
      <c r="D10" s="21"/>
      <c r="E10" s="22">
        <v>200</v>
      </c>
      <c r="F10" s="23"/>
      <c r="G10" s="36">
        <f>MONTH(Tabela13[[#This Row],[DATA]])</f>
        <v>4</v>
      </c>
      <c r="H10" s="36">
        <f>YEAR(Tabela13[[#This Row],[DATA]])</f>
        <v>2026</v>
      </c>
    </row>
    <row r="11" spans="1:8">
      <c r="B11" s="20">
        <v>46130</v>
      </c>
      <c r="C11" s="15" t="s">
        <v>27</v>
      </c>
      <c r="D11" s="21"/>
      <c r="E11" s="22">
        <v>1700</v>
      </c>
      <c r="F11" s="23"/>
      <c r="G11" s="36">
        <f>MONTH(Tabela13[[#This Row],[DATA]])</f>
        <v>4</v>
      </c>
      <c r="H11" s="36">
        <f>YEAR(Tabela13[[#This Row],[DATA]])</f>
        <v>2026</v>
      </c>
    </row>
    <row r="12" spans="1:8">
      <c r="B12" s="20">
        <v>46131</v>
      </c>
      <c r="C12" s="15" t="s">
        <v>25</v>
      </c>
      <c r="D12" s="21"/>
      <c r="E12" s="22">
        <v>2000</v>
      </c>
      <c r="F12" s="23"/>
      <c r="G12" s="36">
        <f>MONTH(Tabela13[[#This Row],[DATA]])</f>
        <v>4</v>
      </c>
      <c r="H12" s="36">
        <f>YEAR(Tabela13[[#This Row],[DATA]])</f>
        <v>2026</v>
      </c>
    </row>
    <row r="13" spans="1:8">
      <c r="B13" s="20">
        <v>46042</v>
      </c>
      <c r="C13" s="15" t="s">
        <v>26</v>
      </c>
      <c r="D13" s="21"/>
      <c r="E13" s="22">
        <v>300</v>
      </c>
      <c r="F13" s="23"/>
      <c r="G13" s="36">
        <f>MONTH(Tabela13[[#This Row],[DATA]])</f>
        <v>1</v>
      </c>
      <c r="H13" s="36">
        <f>YEAR(Tabela13[[#This Row],[DATA]])</f>
        <v>2026</v>
      </c>
    </row>
    <row r="14" spans="1:8">
      <c r="B14" s="20">
        <v>46074</v>
      </c>
      <c r="C14" s="15" t="s">
        <v>27</v>
      </c>
      <c r="D14" s="21"/>
      <c r="E14" s="22">
        <v>300</v>
      </c>
      <c r="F14" s="23"/>
      <c r="G14" s="36">
        <f>MONTH(Tabela13[[#This Row],[DATA]])</f>
        <v>2</v>
      </c>
      <c r="H14" s="36">
        <f>YEAR(Tabela13[[#This Row],[DATA]])</f>
        <v>2026</v>
      </c>
    </row>
    <row r="15" spans="1:8">
      <c r="B15" s="20">
        <v>46103</v>
      </c>
      <c r="C15" s="15" t="s">
        <v>24</v>
      </c>
      <c r="D15" s="21"/>
      <c r="E15" s="22">
        <v>2000</v>
      </c>
      <c r="F15" s="23"/>
      <c r="G15" s="36">
        <f>MONTH(Tabela13[[#This Row],[DATA]])</f>
        <v>3</v>
      </c>
      <c r="H15" s="36">
        <f>YEAR(Tabela13[[#This Row],[DATA]])</f>
        <v>2026</v>
      </c>
    </row>
    <row r="16" spans="1:8">
      <c r="B16" s="20">
        <v>46235</v>
      </c>
      <c r="C16" s="15" t="s">
        <v>26</v>
      </c>
      <c r="D16" s="21"/>
      <c r="E16" s="22">
        <v>4000</v>
      </c>
      <c r="F16" s="23"/>
      <c r="G16" s="53">
        <f>MONTH(Tabela13[[#This Row],[DATA]])</f>
        <v>8</v>
      </c>
      <c r="H16" s="53">
        <f>YEAR(Tabela13[[#This Row],[DATA]])</f>
        <v>2026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LISTAS!$D$6:$D$18</xm:f>
          </x14:formula1>
          <xm:sqref>C6:C16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I12" sqref="I12"/>
    </sheetView>
  </sheetViews>
  <sheetFormatPr defaultColWidth="9" defaultRowHeight="14.25"/>
  <cols>
    <col min="1" max="1" width="9" style="5"/>
    <col min="2" max="2" width="12.25" style="5" customWidth="1"/>
    <col min="3" max="3" width="16.25" style="5" customWidth="1"/>
    <col min="4" max="4" width="15.875" style="5" customWidth="1"/>
    <col min="5" max="6" width="14.375" style="5" customWidth="1"/>
    <col min="7" max="7" width="15.375" style="5" customWidth="1"/>
    <col min="8" max="8" width="8.625" style="5" customWidth="1"/>
    <col min="9" max="9" width="13.375" style="5" customWidth="1"/>
    <col min="10" max="10" width="25" style="5" customWidth="1"/>
    <col min="11" max="11" width="6.375" style="5" customWidth="1"/>
    <col min="12" max="12" width="18.625" style="5" customWidth="1"/>
    <col min="13" max="13" width="19.25" style="5" customWidth="1"/>
    <col min="14" max="16384" width="9" style="5"/>
  </cols>
  <sheetData>
    <row r="1" spans="1:13" s="46" customFormat="1" ht="26.25">
      <c r="A1" s="31" t="s">
        <v>28</v>
      </c>
    </row>
    <row r="2" spans="1:13" s="47" customFormat="1" ht="6" customHeight="1"/>
    <row r="6" spans="1:13" ht="15">
      <c r="C6" s="38" t="s">
        <v>7</v>
      </c>
    </row>
    <row r="7" spans="1:13" ht="15">
      <c r="C7" s="39">
        <v>2026</v>
      </c>
      <c r="D7" s="5" t="s">
        <v>29</v>
      </c>
    </row>
    <row r="9" spans="1:13" ht="15">
      <c r="C9" s="30" t="s">
        <v>30</v>
      </c>
      <c r="D9" s="42" t="s">
        <v>31</v>
      </c>
      <c r="E9" s="43" t="s">
        <v>32</v>
      </c>
      <c r="F9" s="45" t="s">
        <v>33</v>
      </c>
      <c r="G9" s="44" t="s">
        <v>34</v>
      </c>
      <c r="I9" s="56" t="s">
        <v>0</v>
      </c>
      <c r="J9" s="42" t="s">
        <v>35</v>
      </c>
      <c r="L9" s="50" t="s">
        <v>23</v>
      </c>
      <c r="M9" s="51" t="s">
        <v>35</v>
      </c>
    </row>
    <row r="10" spans="1:13">
      <c r="C10" s="41">
        <v>1</v>
      </c>
      <c r="D10" s="16">
        <f>SUMIFS(RECEITAS!E:E,RECEITAS!G:G,DASHBOARD!C10,RECEITAS!H:H,DASHBOARD!$C$7)</f>
        <v>300</v>
      </c>
      <c r="E10" s="16">
        <f>SUMIFS(DESPESAS!E:E,DESPESAS!G:G,DASHBOARD!C10,DESPESAS!H:H,DASHBOARD!$C$7)</f>
        <v>40</v>
      </c>
      <c r="F10" s="16">
        <f>G10</f>
        <v>260</v>
      </c>
      <c r="G10" s="48">
        <f>D10-E10</f>
        <v>260</v>
      </c>
      <c r="I10" s="54" t="str">
        <f>LISTAS!B6</f>
        <v>Apartamento</v>
      </c>
      <c r="J10" s="55">
        <f>SUMIFS(DESPESAS!E:E,DESPESAS!C:C,DASHBOARD!I10,DESPESAS!H:H,DASHBOARD!$C$7)</f>
        <v>880</v>
      </c>
      <c r="L10" s="32" t="str">
        <f>LISTAS!D6</f>
        <v>Salário</v>
      </c>
      <c r="M10" s="52">
        <f>SUMIFS(RECEITAS!E:E,RECEITAS!C:C,DASHBOARD!L10,RECEITAS!H:H,DASHBOARD!$C$7)</f>
        <v>2998</v>
      </c>
    </row>
    <row r="11" spans="1:13">
      <c r="C11" s="41">
        <v>2</v>
      </c>
      <c r="D11" s="16">
        <f>SUMIFS(RECEITAS!E:E,RECEITAS!G:G,DASHBOARD!C11,RECEITAS!H:H,DASHBOARD!$C$7)</f>
        <v>300</v>
      </c>
      <c r="E11" s="16">
        <f>SUMIFS(DESPESAS!E:E,DESPESAS!G:G,DASHBOARD!C11,DESPESAS!H:H,DASHBOARD!$C$7)</f>
        <v>0</v>
      </c>
      <c r="F11" s="16">
        <f>F10+G11</f>
        <v>560</v>
      </c>
      <c r="G11" s="48">
        <f t="shared" ref="G11:G21" si="0">D11-E11</f>
        <v>300</v>
      </c>
      <c r="I11" s="57" t="str">
        <f>LISTAS!B7</f>
        <v>Condominio</v>
      </c>
      <c r="J11" s="55">
        <f>SUMIFS(DESPESAS!E:E,DESPESAS!C:C,DASHBOARD!I11,DESPESAS!H:H,DASHBOARD!$C$7)</f>
        <v>380</v>
      </c>
      <c r="L11" s="32" t="str">
        <f>LISTAS!D7</f>
        <v>Bônus</v>
      </c>
      <c r="M11" s="52">
        <f>SUMIFS(RECEITAS!E:E,RECEITAS!C:C,DASHBOARD!L11,RECEITAS!H:H,DASHBOARD!$C$7)</f>
        <v>2350</v>
      </c>
    </row>
    <row r="12" spans="1:13">
      <c r="C12" s="41">
        <v>3</v>
      </c>
      <c r="D12" s="16">
        <f>SUMIFS(RECEITAS!E:E,RECEITAS!G:G,DASHBOARD!C12,RECEITAS!H:H,DASHBOARD!$C$7)</f>
        <v>2000</v>
      </c>
      <c r="E12" s="16">
        <f>SUMIFS(DESPESAS!E:E,DESPESAS!G:G,DASHBOARD!C12,DESPESAS!H:H,DASHBOARD!$C$7)</f>
        <v>50</v>
      </c>
      <c r="F12" s="16">
        <f t="shared" ref="F12:F21" si="1">F11+G12</f>
        <v>2510</v>
      </c>
      <c r="G12" s="48">
        <f t="shared" si="0"/>
        <v>1950</v>
      </c>
      <c r="I12" s="54" t="str">
        <f>LISTAS!B8</f>
        <v>Supermercado</v>
      </c>
      <c r="J12" s="55">
        <f>SUMIFS(DESPESAS!E:E,DESPESAS!C:C,DASHBOARD!I12,DESPESAS!H:H,DASHBOARD!$C$7)</f>
        <v>300</v>
      </c>
      <c r="L12" s="32" t="str">
        <f>LISTAS!D8</f>
        <v>Investimento</v>
      </c>
      <c r="M12" s="52">
        <f>SUMIFS(RECEITAS!E:E,RECEITAS!C:C,DASHBOARD!L12,RECEITAS!H:H,DASHBOARD!$C$7)</f>
        <v>4800</v>
      </c>
    </row>
    <row r="13" spans="1:13">
      <c r="C13" s="41">
        <v>4</v>
      </c>
      <c r="D13" s="16">
        <f>SUMIFS(RECEITAS!E:E,RECEITAS!G:G,DASHBOARD!C13,RECEITAS!H:H,DASHBOARD!$C$7)</f>
        <v>5748</v>
      </c>
      <c r="E13" s="16">
        <f>SUMIFS(DESPESAS!E:E,DESPESAS!G:G,DASHBOARD!C13,DESPESAS!H:H,DASHBOARD!$C$7)</f>
        <v>4010</v>
      </c>
      <c r="F13" s="16">
        <f t="shared" si="1"/>
        <v>4248</v>
      </c>
      <c r="G13" s="48">
        <f t="shared" si="0"/>
        <v>1738</v>
      </c>
      <c r="I13" s="58" t="str">
        <f>LISTAS!B9</f>
        <v>Saúde</v>
      </c>
      <c r="J13" s="55">
        <f>SUMIFS(DESPESAS!E:E,DESPESAS!C:C,DASHBOARD!I13,DESPESAS!H:H,DASHBOARD!$C$7)</f>
        <v>1150</v>
      </c>
      <c r="L13" s="32" t="str">
        <f>LISTAS!D9</f>
        <v>Trabalho Extra</v>
      </c>
      <c r="M13" s="52">
        <f>SUMIFS(RECEITAS!E:E,RECEITAS!C:C,DASHBOARD!L13,RECEITAS!H:H,DASHBOARD!$C$7)</f>
        <v>2200</v>
      </c>
    </row>
    <row r="14" spans="1:13">
      <c r="C14" s="41">
        <v>5</v>
      </c>
      <c r="D14" s="16">
        <f>SUMIFS(RECEITAS!E:E,RECEITAS!G:G,DASHBOARD!C14,RECEITAS!H:H,DASHBOARD!$C$7)</f>
        <v>0</v>
      </c>
      <c r="E14" s="16">
        <f>SUMIFS(DESPESAS!E:E,DESPESAS!G:G,DASHBOARD!C14,DESPESAS!H:H,DASHBOARD!$C$7)</f>
        <v>0</v>
      </c>
      <c r="F14" s="16">
        <f t="shared" si="1"/>
        <v>4248</v>
      </c>
      <c r="G14" s="48">
        <f t="shared" si="0"/>
        <v>0</v>
      </c>
      <c r="I14" s="54" t="str">
        <f>LISTAS!B10</f>
        <v>Lazer</v>
      </c>
      <c r="J14" s="55">
        <f>SUMIFS(DESPESAS!E:E,DESPESAS!C:C,DASHBOARD!I14,DESPESAS!H:H,DASHBOARD!$C$7)</f>
        <v>1900</v>
      </c>
      <c r="L14" s="32">
        <f>LISTAS!D10</f>
        <v>0</v>
      </c>
      <c r="M14" s="52">
        <f>SUMIFS(RECEITAS!E:E,RECEITAS!C:C,DASHBOARD!L14,RECEITAS!H:H,DASHBOARD!$C$7)</f>
        <v>0</v>
      </c>
    </row>
    <row r="15" spans="1:13">
      <c r="C15" s="41">
        <v>6</v>
      </c>
      <c r="D15" s="16">
        <f>SUMIFS(RECEITAS!E:E,RECEITAS!G:G,DASHBOARD!C15,RECEITAS!H:H,DASHBOARD!$C$7)</f>
        <v>0</v>
      </c>
      <c r="E15" s="16">
        <f>SUMIFS(DESPESAS!E:E,DESPESAS!G:G,DASHBOARD!C15,DESPESAS!H:H,DASHBOARD!$C$7)</f>
        <v>0</v>
      </c>
      <c r="F15" s="16">
        <f t="shared" si="1"/>
        <v>4248</v>
      </c>
      <c r="G15" s="48">
        <f t="shared" si="0"/>
        <v>0</v>
      </c>
      <c r="I15" s="54" t="str">
        <f>LISTAS!B11</f>
        <v>Streamings</v>
      </c>
      <c r="J15" s="55">
        <f>SUMIFS(DESPESAS!E:E,DESPESAS!C:C,DASHBOARD!I15,DESPESAS!H:H,DASHBOARD!$C$7)</f>
        <v>290</v>
      </c>
      <c r="L15" s="32">
        <f>LISTAS!D11</f>
        <v>0</v>
      </c>
      <c r="M15" s="52">
        <f>SUMIFS(RECEITAS!E:E,RECEITAS!C:C,DASHBOARD!L15,RECEITAS!H:H,DASHBOARD!$C$7)</f>
        <v>0</v>
      </c>
    </row>
    <row r="16" spans="1:13">
      <c r="C16" s="41">
        <v>7</v>
      </c>
      <c r="D16" s="16">
        <f>SUMIFS(RECEITAS!E:E,RECEITAS!G:G,DASHBOARD!C16,RECEITAS!H:H,DASHBOARD!$C$7)</f>
        <v>0</v>
      </c>
      <c r="E16" s="16">
        <f>SUMIFS(DESPESAS!E:E,DESPESAS!G:G,DASHBOARD!C16,DESPESAS!H:H,DASHBOARD!$C$7)</f>
        <v>0</v>
      </c>
      <c r="F16" s="16">
        <f t="shared" si="1"/>
        <v>4248</v>
      </c>
      <c r="G16" s="48">
        <f t="shared" si="0"/>
        <v>0</v>
      </c>
      <c r="I16" s="54">
        <f>LISTAS!B12</f>
        <v>0</v>
      </c>
      <c r="J16" s="55">
        <f>SUMIFS(DESPESAS!E:E,DESPESAS!C:C,DASHBOARD!I16,DESPESAS!H:H,DASHBOARD!$C$7)</f>
        <v>0</v>
      </c>
      <c r="L16" s="32">
        <f>LISTAS!D12</f>
        <v>0</v>
      </c>
      <c r="M16" s="52">
        <f>SUMIFS(RECEITAS!E:E,RECEITAS!C:C,DASHBOARD!L16,RECEITAS!H:H,DASHBOARD!$C$7)</f>
        <v>0</v>
      </c>
    </row>
    <row r="17" spans="3:13">
      <c r="C17" s="41">
        <v>8</v>
      </c>
      <c r="D17" s="16">
        <f>SUMIFS(RECEITAS!E:E,RECEITAS!G:G,DASHBOARD!C17,RECEITAS!H:H,DASHBOARD!$C$7)</f>
        <v>4000</v>
      </c>
      <c r="E17" s="16">
        <f>SUMIFS(DESPESAS!E:E,DESPESAS!G:G,DASHBOARD!C17,DESPESAS!H:H,DASHBOARD!$C$7)</f>
        <v>800</v>
      </c>
      <c r="F17" s="16">
        <f t="shared" si="1"/>
        <v>7448</v>
      </c>
      <c r="G17" s="48">
        <f t="shared" si="0"/>
        <v>3200</v>
      </c>
      <c r="I17" s="54">
        <f>LISTAS!B13</f>
        <v>0</v>
      </c>
      <c r="J17" s="55">
        <f>SUMIFS(DESPESAS!E:E,DESPESAS!C:C,DASHBOARD!I17,DESPESAS!H:H,DASHBOARD!$C$7)</f>
        <v>0</v>
      </c>
      <c r="L17" s="32">
        <f>LISTAS!D13</f>
        <v>0</v>
      </c>
      <c r="M17" s="52">
        <f>SUMIFS(RECEITAS!E:E,RECEITAS!C:C,DASHBOARD!L17,RECEITAS!H:H,DASHBOARD!$C$7)</f>
        <v>0</v>
      </c>
    </row>
    <row r="18" spans="3:13">
      <c r="C18" s="41">
        <v>9</v>
      </c>
      <c r="D18" s="16">
        <f>SUMIFS(RECEITAS!E:E,RECEITAS!G:G,DASHBOARD!C18,RECEITAS!H:H,DASHBOARD!$C$7)</f>
        <v>0</v>
      </c>
      <c r="E18" s="16">
        <f>SUMIFS(DESPESAS!E:E,DESPESAS!G:G,DASHBOARD!C18,DESPESAS!H:H,DASHBOARD!$C$7)</f>
        <v>0</v>
      </c>
      <c r="F18" s="16">
        <f t="shared" si="1"/>
        <v>7448</v>
      </c>
      <c r="G18" s="48">
        <f t="shared" si="0"/>
        <v>0</v>
      </c>
      <c r="I18" s="54">
        <f>LISTAS!B14</f>
        <v>0</v>
      </c>
      <c r="J18" s="55">
        <f>SUMIFS(DESPESAS!E:E,DESPESAS!C:C,DASHBOARD!I18,DESPESAS!H:H,DASHBOARD!$C$7)</f>
        <v>0</v>
      </c>
      <c r="L18" s="32">
        <f>LISTAS!D14</f>
        <v>0</v>
      </c>
      <c r="M18" s="52">
        <f>SUMIFS(RECEITAS!E:E,RECEITAS!C:C,DASHBOARD!L18,RECEITAS!H:H,DASHBOARD!$C$7)</f>
        <v>0</v>
      </c>
    </row>
    <row r="19" spans="3:13">
      <c r="C19" s="41">
        <v>10</v>
      </c>
      <c r="D19" s="16">
        <f>SUMIFS(RECEITAS!E:E,RECEITAS!G:G,DASHBOARD!C19,RECEITAS!H:H,DASHBOARD!$C$7)</f>
        <v>0</v>
      </c>
      <c r="E19" s="16">
        <f>SUMIFS(DESPESAS!E:E,DESPESAS!G:G,DASHBOARD!C19,DESPESAS!H:H,DASHBOARD!$C$7)</f>
        <v>0</v>
      </c>
      <c r="F19" s="16">
        <f t="shared" si="1"/>
        <v>7448</v>
      </c>
      <c r="G19" s="48">
        <f t="shared" si="0"/>
        <v>0</v>
      </c>
      <c r="I19" s="54">
        <f>LISTAS!B15</f>
        <v>0</v>
      </c>
      <c r="J19" s="55">
        <f>SUMIFS(DESPESAS!E:E,DESPESAS!C:C,DASHBOARD!I19,DESPESAS!H:H,DASHBOARD!$C$7)</f>
        <v>0</v>
      </c>
      <c r="L19" s="32">
        <f>LISTAS!D15</f>
        <v>0</v>
      </c>
      <c r="M19" s="52">
        <f>SUMIFS(RECEITAS!E:E,RECEITAS!C:C,DASHBOARD!L19,RECEITAS!H:H,DASHBOARD!$C$7)</f>
        <v>0</v>
      </c>
    </row>
    <row r="20" spans="3:13">
      <c r="C20" s="41">
        <v>11</v>
      </c>
      <c r="D20" s="16">
        <f>SUMIFS(RECEITAS!E:E,RECEITAS!G:G,DASHBOARD!C20,RECEITAS!H:H,DASHBOARD!$C$7)</f>
        <v>0</v>
      </c>
      <c r="E20" s="16">
        <f>SUMIFS(DESPESAS!E:E,DESPESAS!G:G,DASHBOARD!C20,DESPESAS!H:H,DASHBOARD!$C$7)</f>
        <v>0</v>
      </c>
      <c r="F20" s="16">
        <f t="shared" si="1"/>
        <v>7448</v>
      </c>
      <c r="G20" s="48">
        <f t="shared" si="0"/>
        <v>0</v>
      </c>
      <c r="I20" s="54">
        <f>LISTAS!B16</f>
        <v>0</v>
      </c>
      <c r="J20" s="55">
        <f>SUMIFS(DESPESAS!E:E,DESPESAS!C:C,DASHBOARD!I20,DESPESAS!H:H,DASHBOARD!$C$7)</f>
        <v>0</v>
      </c>
      <c r="L20" s="32">
        <f>LISTAS!D16</f>
        <v>0</v>
      </c>
      <c r="M20" s="52">
        <f>SUMIFS(RECEITAS!E:E,RECEITAS!C:C,DASHBOARD!L20,RECEITAS!H:H,DASHBOARD!$C$7)</f>
        <v>0</v>
      </c>
    </row>
    <row r="21" spans="3:13">
      <c r="C21" s="41">
        <v>12</v>
      </c>
      <c r="D21" s="16">
        <f>SUMIFS(RECEITAS!E:E,RECEITAS!G:G,DASHBOARD!C21,RECEITAS!H:H,DASHBOARD!$C$7)</f>
        <v>0</v>
      </c>
      <c r="E21" s="16">
        <f>SUMIFS(DESPESAS!E:E,DESPESAS!G:G,DASHBOARD!C21,DESPESAS!H:H,DASHBOARD!$C$7)</f>
        <v>0</v>
      </c>
      <c r="F21" s="16">
        <f t="shared" si="1"/>
        <v>7448</v>
      </c>
      <c r="G21" s="48">
        <f t="shared" si="0"/>
        <v>0</v>
      </c>
      <c r="I21" s="54">
        <f>LISTAS!B17</f>
        <v>0</v>
      </c>
      <c r="J21" s="55">
        <f>SUMIFS(DESPESAS!E:E,DESPESAS!C:C,DASHBOARD!I21,DESPESAS!H:H,DASHBOARD!$C$7)</f>
        <v>0</v>
      </c>
      <c r="L21" s="32">
        <f>LISTAS!D17</f>
        <v>0</v>
      </c>
      <c r="M21" s="52">
        <f>SUMIFS(RECEITAS!E:E,RECEITAS!C:C,DASHBOARD!L21,RECEITAS!H:H,DASHBOARD!$C$7)</f>
        <v>0</v>
      </c>
    </row>
    <row r="22" spans="3:13" ht="15">
      <c r="C22" s="30" t="s">
        <v>35</v>
      </c>
      <c r="D22" s="49">
        <f>SUM(D10:D21)</f>
        <v>12348</v>
      </c>
      <c r="E22" s="49">
        <f t="shared" ref="E22:G22" si="2">SUM(E10:E21)</f>
        <v>4900</v>
      </c>
      <c r="F22" s="16">
        <f>F21</f>
        <v>7448</v>
      </c>
      <c r="G22" s="49">
        <f t="shared" si="2"/>
        <v>7448</v>
      </c>
      <c r="I22" s="54">
        <f>LISTAS!B18</f>
        <v>0</v>
      </c>
      <c r="J22" s="55">
        <f>SUMIFS(DESPESAS!E:E,DESPESAS!C:C,DASHBOARD!I22,DESPESAS!H:H,DASHBOARD!$C$7)</f>
        <v>0</v>
      </c>
      <c r="L22" s="32">
        <f>LISTAS!D18</f>
        <v>0</v>
      </c>
      <c r="M22" s="52">
        <f>SUMIFS(RECEITAS!E:E,RECEITAS!C:C,DASHBOARD!L22,RECEITAS!H:H,DASHBOARD!$C$7)</f>
        <v>0</v>
      </c>
    </row>
  </sheetData>
  <phoneticPr fontId="8" type="noConversion"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23"/>
  <sheetViews>
    <sheetView workbookViewId="0">
      <selection activeCell="J24" sqref="J24"/>
    </sheetView>
  </sheetViews>
  <sheetFormatPr defaultRowHeight="14.25"/>
  <sheetData>
    <row r="23" spans="10:10">
      <c r="J23" t="s">
        <v>36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82B493C76C4FC48965F3DB8DEDDA793" ma:contentTypeVersion="1" ma:contentTypeDescription="Crie um novo documento." ma:contentTypeScope="" ma:versionID="5cf376875a3ff3b3b4400071255c7076">
  <xsd:schema xmlns:xsd="http://www.w3.org/2001/XMLSchema" xmlns:xs="http://www.w3.org/2001/XMLSchema" xmlns:p="http://schemas.microsoft.com/office/2006/metadata/properties" xmlns:ns3="97fff6c9-ee9d-409e-b809-252f65740f2a" targetNamespace="http://schemas.microsoft.com/office/2006/metadata/properties" ma:root="true" ma:fieldsID="750a4604017c914f6e914e8da8353408" ns3:_="">
    <xsd:import namespace="97fff6c9-ee9d-409e-b809-252f65740f2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fff6c9-ee9d-409e-b809-252f65740f2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15EA24-B758-4A5B-906A-F3A632BBEC5F}">
  <ds:schemaRefs>
    <ds:schemaRef ds:uri="97fff6c9-ee9d-409e-b809-252f65740f2a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A3A4061-74DB-48F9-9F70-5CB67140E3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9C4629-1C71-4604-B0D5-B974A19D07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fff6c9-ee9d-409e-b809-252f65740f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MENU</vt:lpstr>
      <vt:lpstr>DESPESAS</vt:lpstr>
      <vt:lpstr>LISTAS</vt:lpstr>
      <vt:lpstr>RECEITAS</vt:lpstr>
      <vt:lpstr>DASHBOARD</vt:lpstr>
      <vt:lpstr>Plan1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Welder Castro</dc:creator>
  <cp:keywords/>
  <dc:description/>
  <cp:lastModifiedBy>WELDER SERRA NEGRA CASTRO</cp:lastModifiedBy>
  <cp:revision/>
  <dcterms:created xsi:type="dcterms:W3CDTF">2026-04-13T23:10:30Z</dcterms:created>
  <dcterms:modified xsi:type="dcterms:W3CDTF">2026-04-14T11:33:18Z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0x010100882B493C76C4FC48965F3DB8DEDDA793</vt:lpwstr>
  </property>
</Properties>
</file>